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RAG_APP_new\Docs\"/>
    </mc:Choice>
  </mc:AlternateContent>
  <xr:revisionPtr revIDLastSave="0" documentId="8_{ABE80769-C192-4FD4-A887-A8C7DF5F92EE}" xr6:coauthVersionLast="47" xr6:coauthVersionMax="47" xr10:uidLastSave="{00000000-0000-0000-0000-000000000000}"/>
  <bookViews>
    <workbookView xWindow="-120" yWindow="-120" windowWidth="24240" windowHeight="13020" tabRatio="634" xr2:uid="{00000000-000D-0000-FFFF-FFFF00000000}"/>
  </bookViews>
  <sheets>
    <sheet name="ضبط الحاجات للأساتذة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" l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6" i="1"/>
  <c r="T17" i="1"/>
  <c r="T23" i="1"/>
  <c r="T13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6" i="1"/>
  <c r="P15" i="1"/>
  <c r="P16" i="1"/>
  <c r="P17" i="1"/>
  <c r="P18" i="1"/>
  <c r="P19" i="1"/>
  <c r="P20" i="1"/>
  <c r="P21" i="1"/>
  <c r="P22" i="1"/>
  <c r="P23" i="1"/>
  <c r="P24" i="1"/>
  <c r="P25" i="1"/>
  <c r="P14" i="1"/>
  <c r="L7" i="1"/>
  <c r="L8" i="1"/>
  <c r="L9" i="1"/>
  <c r="L10" i="1"/>
  <c r="L11" i="1"/>
  <c r="L12" i="1"/>
  <c r="L13" i="1"/>
  <c r="L14" i="1"/>
  <c r="L15" i="1"/>
  <c r="L16" i="1"/>
  <c r="L20" i="1"/>
  <c r="L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3" i="1"/>
  <c r="J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6" i="1"/>
  <c r="F7" i="1"/>
  <c r="F8" i="1"/>
  <c r="F9" i="1"/>
  <c r="F10" i="1"/>
  <c r="F11" i="1"/>
  <c r="F12" i="1"/>
  <c r="F13" i="1"/>
  <c r="F26" i="1" s="1"/>
  <c r="E30" i="1" s="1"/>
  <c r="F14" i="1"/>
  <c r="F15" i="1"/>
  <c r="F16" i="1"/>
  <c r="F17" i="1"/>
  <c r="F18" i="1"/>
  <c r="F19" i="1"/>
  <c r="F20" i="1"/>
  <c r="F21" i="1"/>
  <c r="F22" i="1"/>
  <c r="F23" i="1"/>
  <c r="F24" i="1"/>
  <c r="F25" i="1"/>
  <c r="F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6" i="1"/>
  <c r="AB25" i="1"/>
  <c r="AM29" i="1"/>
  <c r="AK29" i="1"/>
  <c r="AI29" i="1"/>
  <c r="AG29" i="1"/>
  <c r="AE29" i="1"/>
  <c r="AC29" i="1"/>
  <c r="AA29" i="1"/>
  <c r="Y29" i="1"/>
  <c r="W29" i="1"/>
  <c r="U29" i="1"/>
  <c r="S29" i="1"/>
  <c r="Q29" i="1"/>
  <c r="O29" i="1"/>
  <c r="M29" i="1"/>
  <c r="K29" i="1"/>
  <c r="I29" i="1"/>
  <c r="G29" i="1"/>
  <c r="E29" i="1"/>
  <c r="AN26" i="1"/>
  <c r="AM30" i="1" s="1"/>
  <c r="AL26" i="1"/>
  <c r="AK30" i="1" s="1"/>
  <c r="AJ26" i="1"/>
  <c r="AI30" i="1" s="1"/>
  <c r="B26" i="1"/>
  <c r="AB24" i="1"/>
  <c r="AB19" i="1"/>
  <c r="AB26" i="1"/>
  <c r="AA30" i="1" s="1"/>
  <c r="N10" i="1"/>
  <c r="N26" i="1" s="1"/>
  <c r="M30" i="1" s="1"/>
  <c r="AH9" i="1"/>
  <c r="AF8" i="1"/>
  <c r="AH7" i="1"/>
  <c r="AF6" i="1"/>
  <c r="AO14" i="1" l="1"/>
  <c r="D26" i="1"/>
  <c r="C30" i="1" s="1"/>
  <c r="Z26" i="1"/>
  <c r="Y30" i="1" s="1"/>
  <c r="AO9" i="1"/>
  <c r="AO8" i="1"/>
  <c r="AO25" i="1"/>
  <c r="AO12" i="1"/>
  <c r="AO21" i="1"/>
  <c r="AO20" i="1"/>
  <c r="AO13" i="1"/>
  <c r="T26" i="1"/>
  <c r="S30" i="1" s="1"/>
  <c r="AO10" i="1"/>
  <c r="L26" i="1"/>
  <c r="K30" i="1" s="1"/>
  <c r="AD26" i="1"/>
  <c r="AC30" i="1" s="1"/>
  <c r="R26" i="1"/>
  <c r="Q30" i="1" s="1"/>
  <c r="AO19" i="1"/>
  <c r="X26" i="1"/>
  <c r="W30" i="1" s="1"/>
  <c r="P26" i="1"/>
  <c r="O30" i="1" s="1"/>
  <c r="AO18" i="1"/>
  <c r="AO11" i="1"/>
  <c r="AO17" i="1"/>
  <c r="AO16" i="1"/>
  <c r="AO24" i="1"/>
  <c r="V26" i="1"/>
  <c r="U30" i="1" s="1"/>
  <c r="H26" i="1"/>
  <c r="G30" i="1" s="1"/>
  <c r="AO15" i="1"/>
  <c r="AO23" i="1"/>
  <c r="AF26" i="1"/>
  <c r="AE30" i="1" s="1"/>
  <c r="J26" i="1"/>
  <c r="I30" i="1" s="1"/>
  <c r="AO7" i="1"/>
  <c r="AH26" i="1"/>
  <c r="AG30" i="1" s="1"/>
  <c r="AO22" i="1"/>
  <c r="AO6" i="1"/>
  <c r="AO26" i="1" l="1"/>
</calcChain>
</file>

<file path=xl/sharedStrings.xml><?xml version="1.0" encoding="utf-8"?>
<sst xmlns="http://schemas.openxmlformats.org/spreadsheetml/2006/main" count="86" uniqueCount="50">
  <si>
    <t>الجمهورية التونسية - وزارة التربية - المندوبية الجهوية للتربية بقفصة</t>
  </si>
  <si>
    <t>جدول ضبط الحاجات للأساتذة - معهد ابن رشيق السند</t>
  </si>
  <si>
    <t>المستوى التعليمي</t>
  </si>
  <si>
    <t>عدد الفصول</t>
  </si>
  <si>
    <t>العربية</t>
  </si>
  <si>
    <t>الفرنسية</t>
  </si>
  <si>
    <t>الانقليزية</t>
  </si>
  <si>
    <t>تاريخ / جغرافيا</t>
  </si>
  <si>
    <t>تفكير إسلامي</t>
  </si>
  <si>
    <t>تربية مدنية</t>
  </si>
  <si>
    <t>فلسفة</t>
  </si>
  <si>
    <t>رياضيات</t>
  </si>
  <si>
    <t>اقتصاد / تصرف</t>
  </si>
  <si>
    <t>علوم طبيعية</t>
  </si>
  <si>
    <t>علوم فيزيائية</t>
  </si>
  <si>
    <t>تكنولوجيا</t>
  </si>
  <si>
    <t>كهرباء / ميكانيك</t>
  </si>
  <si>
    <t>إعلامية</t>
  </si>
  <si>
    <t>تربية تشكيلية</t>
  </si>
  <si>
    <t>تربية موسيقية</t>
  </si>
  <si>
    <t>إيطالية</t>
  </si>
  <si>
    <t>إسبانية</t>
  </si>
  <si>
    <t>ألمانية</t>
  </si>
  <si>
    <t>مجموع الساعات</t>
  </si>
  <si>
    <t>س/ف</t>
  </si>
  <si>
    <t>الجملة</t>
  </si>
  <si>
    <t>السابعة أساسي</t>
  </si>
  <si>
    <t>الثامنة أساسي</t>
  </si>
  <si>
    <t>التاسعة أساسي</t>
  </si>
  <si>
    <t>الأولى ثانوي</t>
  </si>
  <si>
    <t>الثانية آداب</t>
  </si>
  <si>
    <t>الثانية علوم</t>
  </si>
  <si>
    <t>الثانية تكنولوجيا</t>
  </si>
  <si>
    <t>الثانية اقتصاد و خدمات</t>
  </si>
  <si>
    <t>الثالثة آداب</t>
  </si>
  <si>
    <t>الثالثة رياضيات</t>
  </si>
  <si>
    <t>الثالثة علوم تجريبية</t>
  </si>
  <si>
    <t>الثالثة اقتصاد و تصرف</t>
  </si>
  <si>
    <t>الثالثة علوم الإعلامية</t>
  </si>
  <si>
    <t>الثالثة علوم تقنية</t>
  </si>
  <si>
    <t>الرابعة اداب</t>
  </si>
  <si>
    <t>الرابعة رياضيات</t>
  </si>
  <si>
    <t>الرابعة علوم تجريبية</t>
  </si>
  <si>
    <t>الرابعة اقتصاد و تصرف</t>
  </si>
  <si>
    <t>الرابعة علوم الإعلامية</t>
  </si>
  <si>
    <t>المجموع :</t>
  </si>
  <si>
    <t>عدد المباشرين</t>
  </si>
  <si>
    <t>عدد الساعات المطالب بها</t>
  </si>
  <si>
    <t>الاحتياج (+) / الفائض (-)</t>
  </si>
  <si>
    <t>الرابعة علوم تقنية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</si>
</sst>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4"/>
      <color rgb="FF1F497D"/>
      <name val="Calibri"/>
    </font>
    <font>
      <b/>
      <sz val="16"/>
      <color rgb="FF000000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b/>
      <sz val="9"/>
      <name val="Calibri"/>
    </font>
    <font>
      <b/>
      <sz val="10"/>
      <name val="Calibri"/>
    </font>
    <font>
      <sz val="9.5"/>
      <name val="Calibri"/>
    </font>
    <font>
      <b/>
      <sz val="9.5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DCE6F1"/>
      </patternFill>
    </fill>
    <fill>
      <patternFill patternType="solid">
        <fgColor rgb="FF1B365D"/>
      </patternFill>
    </fill>
    <fill>
      <patternFill patternType="solid">
        <fgColor rgb="FFF2F2F2"/>
      </patternFill>
    </fill>
    <fill>
      <patternFill patternType="solid">
        <fgColor rgb="FFF2DCDB"/>
      </patternFill>
    </fill>
    <fill>
      <patternFill patternType="solid">
        <fgColor rgb="FFE4DFEC"/>
      </patternFill>
    </fill>
    <fill>
      <patternFill patternType="solid">
        <fgColor rgb="FFFDE9D9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double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5" fillId="3" borderId="0" xfId="0" applyFont="1" applyFill="1" applyAlignment="1">
      <alignment horizontal="center" vertical="center"/>
    </xf>
    <xf numFmtId="0" fontId="6" fillId="5" borderId="1" xfId="0" applyFont="1" applyFill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/>
    <xf numFmtId="164" fontId="7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9" fillId="6" borderId="2" xfId="0" applyFont="1" applyFill="1" applyBorder="1" applyAlignment="1">
      <alignment horizontal="right" vertical="center"/>
    </xf>
    <xf numFmtId="0" fontId="9" fillId="6" borderId="2" xfId="0" applyFont="1" applyFill="1" applyBorder="1" applyAlignment="1">
      <alignment horizontal="center" vertical="center"/>
    </xf>
    <xf numFmtId="0" fontId="0" fillId="6" borderId="2" xfId="0" applyFill="1" applyBorder="1"/>
    <xf numFmtId="164" fontId="6" fillId="6" borderId="2" xfId="0" applyNumberFormat="1" applyFont="1" applyFill="1" applyBorder="1" applyAlignment="1">
      <alignment horizontal="center" vertical="center"/>
    </xf>
    <xf numFmtId="164" fontId="9" fillId="6" borderId="2" xfId="0" applyNumberFormat="1" applyFont="1" applyFill="1" applyBorder="1" applyAlignment="1">
      <alignment horizontal="center" vertical="center"/>
    </xf>
    <xf numFmtId="0" fontId="6" fillId="7" borderId="1" xfId="0" applyFont="1" applyFill="1" applyBorder="1"/>
    <xf numFmtId="0" fontId="6" fillId="8" borderId="1" xfId="0" applyFont="1" applyFill="1" applyBorder="1"/>
    <xf numFmtId="0" fontId="4" fillId="2" borderId="0" xfId="0" applyFont="1" applyFill="1" applyAlignment="1">
      <alignment horizontal="center" vertical="center"/>
    </xf>
    <xf numFmtId="0" fontId="0" fillId="0" borderId="0" xfId="0"/>
    <xf numFmtId="2" fontId="6" fillId="8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6" fillId="7" borderId="1" xfId="0" applyFont="1" applyFill="1" applyBorder="1" applyAlignment="1">
      <alignment horizontal="center" vertical="center"/>
    </xf>
    <xf numFmtId="164" fontId="6" fillId="7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center" vertical="top"/>
    </xf>
    <xf numFmtId="164" fontId="6" fillId="6" borderId="2" xfId="0" applyNumberFormat="1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 vertical="top"/>
    </xf>
    <xf numFmtId="1" fontId="6" fillId="7" borderId="1" xfId="0" applyNumberFormat="1" applyFont="1" applyFill="1" applyBorder="1" applyAlignment="1">
      <alignment horizontal="center" vertical="center"/>
    </xf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0"/>
  <sheetViews>
    <sheetView rightToLeft="1" tabSelected="1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M30" sqref="M30:N30"/>
    </sheetView>
  </sheetViews>
  <sheetFormatPr defaultRowHeight="15" x14ac:dyDescent="0.25"/>
  <cols>
    <col min="1" max="1" width="24" customWidth="1"/>
    <col min="2" max="2" width="12" customWidth="1"/>
    <col min="3" max="5" width="9" style="27" customWidth="1"/>
    <col min="6" max="6" width="9" style="31" customWidth="1"/>
    <col min="7" max="10" width="9" customWidth="1"/>
    <col min="11" max="13" width="9" style="27" customWidth="1"/>
    <col min="14" max="41" width="9" customWidth="1"/>
  </cols>
  <sheetData>
    <row r="1" spans="1:41" ht="18.75" x14ac:dyDescent="0.25">
      <c r="A1" s="24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</row>
    <row r="2" spans="1:41" ht="21" x14ac:dyDescent="0.25">
      <c r="A2" s="21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</row>
    <row r="4" spans="1:41" x14ac:dyDescent="0.25">
      <c r="A4" s="23" t="s">
        <v>2</v>
      </c>
      <c r="B4" s="23" t="s">
        <v>3</v>
      </c>
      <c r="C4" s="15" t="s">
        <v>4</v>
      </c>
      <c r="D4" s="16"/>
      <c r="E4" s="15" t="s">
        <v>5</v>
      </c>
      <c r="F4" s="16"/>
      <c r="G4" s="15" t="s">
        <v>6</v>
      </c>
      <c r="H4" s="16"/>
      <c r="I4" s="15" t="s">
        <v>7</v>
      </c>
      <c r="J4" s="16"/>
      <c r="K4" s="15" t="s">
        <v>8</v>
      </c>
      <c r="L4" s="16"/>
      <c r="M4" s="15" t="s">
        <v>9</v>
      </c>
      <c r="N4" s="16"/>
      <c r="O4" s="15" t="s">
        <v>10</v>
      </c>
      <c r="P4" s="16"/>
      <c r="Q4" s="15" t="s">
        <v>11</v>
      </c>
      <c r="R4" s="16"/>
      <c r="S4" s="15" t="s">
        <v>12</v>
      </c>
      <c r="T4" s="16"/>
      <c r="U4" s="15" t="s">
        <v>13</v>
      </c>
      <c r="V4" s="16"/>
      <c r="W4" s="15" t="s">
        <v>14</v>
      </c>
      <c r="X4" s="16"/>
      <c r="Y4" s="15" t="s">
        <v>15</v>
      </c>
      <c r="Z4" s="16"/>
      <c r="AA4" s="15" t="s">
        <v>16</v>
      </c>
      <c r="AB4" s="16"/>
      <c r="AC4" s="15" t="s">
        <v>17</v>
      </c>
      <c r="AD4" s="16"/>
      <c r="AE4" s="15" t="s">
        <v>18</v>
      </c>
      <c r="AF4" s="16"/>
      <c r="AG4" s="15" t="s">
        <v>19</v>
      </c>
      <c r="AH4" s="16"/>
      <c r="AI4" s="15" t="s">
        <v>20</v>
      </c>
      <c r="AJ4" s="16"/>
      <c r="AK4" s="15" t="s">
        <v>21</v>
      </c>
      <c r="AL4" s="16"/>
      <c r="AM4" s="15" t="s">
        <v>22</v>
      </c>
      <c r="AN4" s="16"/>
      <c r="AO4" s="22" t="s">
        <v>23</v>
      </c>
    </row>
    <row r="5" spans="1:41" x14ac:dyDescent="0.25">
      <c r="A5" s="16"/>
      <c r="B5" s="16"/>
      <c r="C5" s="1" t="s">
        <v>24</v>
      </c>
      <c r="D5" s="1" t="s">
        <v>25</v>
      </c>
      <c r="E5" s="1" t="s">
        <v>24</v>
      </c>
      <c r="F5" s="28" t="s">
        <v>25</v>
      </c>
      <c r="G5" s="1" t="s">
        <v>24</v>
      </c>
      <c r="H5" s="1" t="s">
        <v>25</v>
      </c>
      <c r="I5" s="1" t="s">
        <v>24</v>
      </c>
      <c r="J5" s="1" t="s">
        <v>25</v>
      </c>
      <c r="K5" s="1" t="s">
        <v>24</v>
      </c>
      <c r="L5" s="1" t="s">
        <v>25</v>
      </c>
      <c r="M5" s="1" t="s">
        <v>24</v>
      </c>
      <c r="N5" s="1" t="s">
        <v>25</v>
      </c>
      <c r="O5" s="1" t="s">
        <v>24</v>
      </c>
      <c r="P5" s="1" t="s">
        <v>25</v>
      </c>
      <c r="Q5" s="1" t="s">
        <v>24</v>
      </c>
      <c r="R5" s="1" t="s">
        <v>25</v>
      </c>
      <c r="S5" s="1" t="s">
        <v>24</v>
      </c>
      <c r="T5" s="1" t="s">
        <v>25</v>
      </c>
      <c r="U5" s="1" t="s">
        <v>24</v>
      </c>
      <c r="V5" s="1" t="s">
        <v>25</v>
      </c>
      <c r="W5" s="1" t="s">
        <v>24</v>
      </c>
      <c r="X5" s="1" t="s">
        <v>25</v>
      </c>
      <c r="Y5" s="1" t="s">
        <v>24</v>
      </c>
      <c r="Z5" s="1" t="s">
        <v>25</v>
      </c>
      <c r="AA5" s="1" t="s">
        <v>24</v>
      </c>
      <c r="AB5" s="1" t="s">
        <v>25</v>
      </c>
      <c r="AC5" s="1" t="s">
        <v>24</v>
      </c>
      <c r="AD5" s="1" t="s">
        <v>25</v>
      </c>
      <c r="AE5" s="1" t="s">
        <v>24</v>
      </c>
      <c r="AF5" s="1" t="s">
        <v>25</v>
      </c>
      <c r="AG5" s="1" t="s">
        <v>24</v>
      </c>
      <c r="AH5" s="1" t="s">
        <v>25</v>
      </c>
      <c r="AI5" s="1" t="s">
        <v>24</v>
      </c>
      <c r="AJ5" s="1" t="s">
        <v>25</v>
      </c>
      <c r="AK5" s="1" t="s">
        <v>24</v>
      </c>
      <c r="AL5" s="1" t="s">
        <v>25</v>
      </c>
      <c r="AM5" s="1" t="s">
        <v>24</v>
      </c>
      <c r="AN5" s="1" t="s">
        <v>25</v>
      </c>
      <c r="AO5" s="16"/>
    </row>
    <row r="6" spans="1:41" x14ac:dyDescent="0.25">
      <c r="A6" s="2" t="s">
        <v>26</v>
      </c>
      <c r="B6" s="3">
        <v>0</v>
      </c>
      <c r="C6" s="25">
        <v>5</v>
      </c>
      <c r="D6" s="25">
        <f>C6*B6</f>
        <v>0</v>
      </c>
      <c r="E6" s="25">
        <v>4.5</v>
      </c>
      <c r="F6" s="30">
        <f>E6*B6</f>
        <v>0</v>
      </c>
      <c r="G6" s="5">
        <v>4</v>
      </c>
      <c r="H6" s="6">
        <f>G6*B6</f>
        <v>0</v>
      </c>
      <c r="I6" s="5">
        <v>2</v>
      </c>
      <c r="J6" s="6">
        <f>I6*B6</f>
        <v>0</v>
      </c>
      <c r="K6" s="5">
        <v>1.5</v>
      </c>
      <c r="L6" s="6">
        <f>K6*B6</f>
        <v>0</v>
      </c>
      <c r="M6" s="25">
        <v>1.5</v>
      </c>
      <c r="N6" s="4"/>
      <c r="O6" s="4"/>
      <c r="P6" s="4"/>
      <c r="Q6" s="5">
        <v>4</v>
      </c>
      <c r="R6" s="6">
        <f>Q6*B6</f>
        <v>0</v>
      </c>
      <c r="S6" s="4"/>
      <c r="T6" s="4"/>
      <c r="U6" s="5">
        <v>2.5</v>
      </c>
      <c r="V6" s="6">
        <f>U6*B6</f>
        <v>0</v>
      </c>
      <c r="W6" s="5">
        <v>2.5</v>
      </c>
      <c r="X6" s="6">
        <f>W6*B6</f>
        <v>0</v>
      </c>
      <c r="Y6" s="5">
        <v>3</v>
      </c>
      <c r="Z6" s="6">
        <f>Y6*B6</f>
        <v>0</v>
      </c>
      <c r="AA6" s="4"/>
      <c r="AB6" s="4"/>
      <c r="AC6" s="5">
        <v>2</v>
      </c>
      <c r="AD6" s="6">
        <f>AC6*B6</f>
        <v>0</v>
      </c>
      <c r="AE6" s="5">
        <v>1</v>
      </c>
      <c r="AF6" s="6">
        <f>AE6*B6</f>
        <v>0</v>
      </c>
      <c r="AG6" s="5">
        <v>1</v>
      </c>
      <c r="AH6" s="4"/>
      <c r="AI6" s="4"/>
      <c r="AJ6" s="4"/>
      <c r="AK6" s="4"/>
      <c r="AL6" s="4"/>
      <c r="AM6" s="4"/>
      <c r="AN6" s="4"/>
      <c r="AO6" s="7">
        <f>SUM(H6,J6,L6,R6,V6,X6,Z6,AD6,AF6)</f>
        <v>0</v>
      </c>
    </row>
    <row r="7" spans="1:41" x14ac:dyDescent="0.25">
      <c r="A7" s="2" t="s">
        <v>27</v>
      </c>
      <c r="B7" s="3">
        <v>0</v>
      </c>
      <c r="C7" s="25">
        <v>5</v>
      </c>
      <c r="D7" s="25">
        <f t="shared" ref="D7:D25" si="0">C7*B7</f>
        <v>0</v>
      </c>
      <c r="E7" s="25">
        <v>4.5</v>
      </c>
      <c r="F7" s="30">
        <f t="shared" ref="F7:F25" si="1">E7*B7</f>
        <v>0</v>
      </c>
      <c r="G7" s="5">
        <v>4</v>
      </c>
      <c r="H7" s="6">
        <f t="shared" ref="H7:H25" si="2">G7*B7</f>
        <v>0</v>
      </c>
      <c r="I7" s="5">
        <v>2</v>
      </c>
      <c r="J7" s="6">
        <f t="shared" ref="J7:J25" si="3">I7*B7</f>
        <v>0</v>
      </c>
      <c r="K7" s="5">
        <v>1.5</v>
      </c>
      <c r="L7" s="6">
        <f t="shared" ref="L7:L25" si="4">K7*B7</f>
        <v>0</v>
      </c>
      <c r="M7" s="25">
        <v>1.5</v>
      </c>
      <c r="N7" s="4"/>
      <c r="O7" s="4"/>
      <c r="P7" s="4"/>
      <c r="Q7" s="5">
        <v>4</v>
      </c>
      <c r="R7" s="6">
        <f t="shared" ref="R7:R25" si="5">Q7*B7</f>
        <v>0</v>
      </c>
      <c r="S7" s="4"/>
      <c r="T7" s="4"/>
      <c r="U7" s="5">
        <v>2.5</v>
      </c>
      <c r="V7" s="6">
        <f t="shared" ref="V7:V25" si="6">U7*B7</f>
        <v>0</v>
      </c>
      <c r="W7" s="5">
        <v>2.5</v>
      </c>
      <c r="X7" s="6">
        <f t="shared" ref="X7:X25" si="7">W7*B7</f>
        <v>0</v>
      </c>
      <c r="Y7" s="5">
        <v>2</v>
      </c>
      <c r="Z7" s="6">
        <f t="shared" ref="Z7:Z25" si="8">Y7*B7</f>
        <v>0</v>
      </c>
      <c r="AA7" s="4"/>
      <c r="AB7" s="4"/>
      <c r="AC7" s="5">
        <v>2</v>
      </c>
      <c r="AD7" s="6">
        <f t="shared" ref="AD7:AD25" si="9">AC7*B7</f>
        <v>0</v>
      </c>
      <c r="AE7" s="5">
        <v>1</v>
      </c>
      <c r="AF7" s="4"/>
      <c r="AG7" s="5">
        <v>1</v>
      </c>
      <c r="AH7" s="6">
        <f>AG7*B7</f>
        <v>0</v>
      </c>
      <c r="AI7" s="4"/>
      <c r="AJ7" s="4"/>
      <c r="AK7" s="4"/>
      <c r="AL7" s="4"/>
      <c r="AM7" s="4"/>
      <c r="AN7" s="4"/>
      <c r="AO7" s="7">
        <f>SUM(H7,J7,L7,R7,V7,X7,Z7,AD7,AH7)</f>
        <v>0</v>
      </c>
    </row>
    <row r="8" spans="1:41" x14ac:dyDescent="0.25">
      <c r="A8" s="2" t="s">
        <v>28</v>
      </c>
      <c r="B8" s="3">
        <v>0</v>
      </c>
      <c r="C8" s="25">
        <v>5</v>
      </c>
      <c r="D8" s="25">
        <f t="shared" si="0"/>
        <v>0</v>
      </c>
      <c r="E8" s="25">
        <v>5</v>
      </c>
      <c r="F8" s="30">
        <f t="shared" si="1"/>
        <v>0</v>
      </c>
      <c r="G8" s="5">
        <v>4</v>
      </c>
      <c r="H8" s="6">
        <f t="shared" si="2"/>
        <v>0</v>
      </c>
      <c r="I8" s="5">
        <v>2</v>
      </c>
      <c r="J8" s="6">
        <f t="shared" si="3"/>
        <v>0</v>
      </c>
      <c r="K8" s="5">
        <v>1.5</v>
      </c>
      <c r="L8" s="6">
        <f t="shared" si="4"/>
        <v>0</v>
      </c>
      <c r="M8" s="25">
        <v>1.5</v>
      </c>
      <c r="N8" s="4"/>
      <c r="O8" s="4"/>
      <c r="P8" s="4"/>
      <c r="Q8" s="5">
        <v>4</v>
      </c>
      <c r="R8" s="6">
        <f t="shared" si="5"/>
        <v>0</v>
      </c>
      <c r="S8" s="4"/>
      <c r="T8" s="4"/>
      <c r="U8" s="5">
        <v>2.5</v>
      </c>
      <c r="V8" s="6">
        <f t="shared" si="6"/>
        <v>0</v>
      </c>
      <c r="W8" s="5">
        <v>2.5</v>
      </c>
      <c r="X8" s="6">
        <f t="shared" si="7"/>
        <v>0</v>
      </c>
      <c r="Y8" s="5">
        <v>2</v>
      </c>
      <c r="Z8" s="6">
        <f t="shared" si="8"/>
        <v>0</v>
      </c>
      <c r="AA8" s="4"/>
      <c r="AB8" s="4"/>
      <c r="AC8" s="5">
        <v>2</v>
      </c>
      <c r="AD8" s="6">
        <f t="shared" si="9"/>
        <v>0</v>
      </c>
      <c r="AE8" s="5">
        <v>1</v>
      </c>
      <c r="AF8" s="6">
        <f>AE8*B8</f>
        <v>0</v>
      </c>
      <c r="AG8" s="5">
        <v>1</v>
      </c>
      <c r="AH8" s="4"/>
      <c r="AI8" s="4"/>
      <c r="AJ8" s="4"/>
      <c r="AK8" s="4"/>
      <c r="AL8" s="4"/>
      <c r="AM8" s="4"/>
      <c r="AN8" s="4"/>
      <c r="AO8" s="7">
        <f>SUM(H8,J8,L8,R8,V8,X8,Z8,AD8,AF8)</f>
        <v>0</v>
      </c>
    </row>
    <row r="9" spans="1:41" x14ac:dyDescent="0.25">
      <c r="A9" s="2" t="s">
        <v>29</v>
      </c>
      <c r="B9" s="3">
        <v>3</v>
      </c>
      <c r="C9" s="25">
        <v>5</v>
      </c>
      <c r="D9" s="25">
        <f t="shared" si="0"/>
        <v>15</v>
      </c>
      <c r="E9" s="25">
        <v>4</v>
      </c>
      <c r="F9" s="30">
        <f t="shared" si="1"/>
        <v>12</v>
      </c>
      <c r="G9" s="5">
        <v>3</v>
      </c>
      <c r="H9" s="6">
        <f t="shared" si="2"/>
        <v>9</v>
      </c>
      <c r="I9" s="5">
        <v>3</v>
      </c>
      <c r="J9" s="6">
        <f t="shared" si="3"/>
        <v>9</v>
      </c>
      <c r="K9" s="5">
        <v>1.5</v>
      </c>
      <c r="L9" s="6">
        <f t="shared" si="4"/>
        <v>4.5</v>
      </c>
      <c r="M9" s="25">
        <v>1.5</v>
      </c>
      <c r="N9" s="4"/>
      <c r="O9" s="4"/>
      <c r="P9" s="4"/>
      <c r="Q9" s="5">
        <v>4</v>
      </c>
      <c r="R9" s="6">
        <f t="shared" si="5"/>
        <v>12</v>
      </c>
      <c r="S9" s="4"/>
      <c r="T9" s="4"/>
      <c r="U9" s="5">
        <v>2.5</v>
      </c>
      <c r="V9" s="6">
        <f t="shared" si="6"/>
        <v>7.5</v>
      </c>
      <c r="W9" s="5">
        <v>4</v>
      </c>
      <c r="X9" s="6">
        <f t="shared" si="7"/>
        <v>12</v>
      </c>
      <c r="Y9" s="5">
        <v>4</v>
      </c>
      <c r="Z9" s="6">
        <f t="shared" si="8"/>
        <v>12</v>
      </c>
      <c r="AA9" s="4"/>
      <c r="AB9" s="4"/>
      <c r="AC9" s="5">
        <v>2</v>
      </c>
      <c r="AD9" s="6">
        <f t="shared" si="9"/>
        <v>6</v>
      </c>
      <c r="AE9" s="4"/>
      <c r="AF9" s="4"/>
      <c r="AG9" s="5"/>
      <c r="AH9" s="6">
        <f>AG9*B9</f>
        <v>0</v>
      </c>
      <c r="AI9" s="4"/>
      <c r="AJ9" s="4"/>
      <c r="AK9" s="4"/>
      <c r="AL9" s="4"/>
      <c r="AM9" s="4"/>
      <c r="AN9" s="4"/>
      <c r="AO9" s="7">
        <f>SUM(H9,J9,L9,R9,V9,X9,Z9,AD9,AH9)</f>
        <v>72</v>
      </c>
    </row>
    <row r="10" spans="1:41" x14ac:dyDescent="0.25">
      <c r="A10" s="2" t="s">
        <v>30</v>
      </c>
      <c r="B10" s="3">
        <v>0</v>
      </c>
      <c r="C10" s="25">
        <v>5</v>
      </c>
      <c r="D10" s="25">
        <f t="shared" si="0"/>
        <v>0</v>
      </c>
      <c r="E10" s="25">
        <v>5</v>
      </c>
      <c r="F10" s="30">
        <f t="shared" si="1"/>
        <v>0</v>
      </c>
      <c r="G10" s="5">
        <v>4</v>
      </c>
      <c r="H10" s="6">
        <f t="shared" si="2"/>
        <v>0</v>
      </c>
      <c r="I10" s="5">
        <v>3</v>
      </c>
      <c r="J10" s="6">
        <f t="shared" si="3"/>
        <v>0</v>
      </c>
      <c r="K10" s="5">
        <v>1.5</v>
      </c>
      <c r="L10" s="6">
        <f t="shared" si="4"/>
        <v>0</v>
      </c>
      <c r="M10" s="5">
        <v>1.5</v>
      </c>
      <c r="N10" s="6">
        <f>M10*B10</f>
        <v>0</v>
      </c>
      <c r="O10" s="4"/>
      <c r="P10" s="4"/>
      <c r="Q10" s="5">
        <v>2</v>
      </c>
      <c r="R10" s="6">
        <f t="shared" si="5"/>
        <v>0</v>
      </c>
      <c r="S10" s="4"/>
      <c r="T10" s="4"/>
      <c r="U10" s="5">
        <v>2.5</v>
      </c>
      <c r="V10" s="6">
        <f t="shared" si="6"/>
        <v>0</v>
      </c>
      <c r="W10" s="4"/>
      <c r="X10" s="6">
        <f t="shared" si="7"/>
        <v>0</v>
      </c>
      <c r="Y10" s="4"/>
      <c r="Z10" s="6">
        <f t="shared" si="8"/>
        <v>0</v>
      </c>
      <c r="AA10" s="4"/>
      <c r="AB10" s="4"/>
      <c r="AC10" s="5">
        <v>2</v>
      </c>
      <c r="AD10" s="6">
        <f t="shared" si="9"/>
        <v>0</v>
      </c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7">
        <f>SUM(H10,J10,L10,N10,R10,V10,AD10)</f>
        <v>0</v>
      </c>
    </row>
    <row r="11" spans="1:41" x14ac:dyDescent="0.25">
      <c r="A11" s="2" t="s">
        <v>31</v>
      </c>
      <c r="B11" s="3">
        <v>1</v>
      </c>
      <c r="C11" s="25">
        <v>4</v>
      </c>
      <c r="D11" s="25">
        <f t="shared" si="0"/>
        <v>4</v>
      </c>
      <c r="E11" s="25">
        <v>4</v>
      </c>
      <c r="F11" s="30">
        <f t="shared" si="1"/>
        <v>4</v>
      </c>
      <c r="G11" s="5">
        <v>3</v>
      </c>
      <c r="H11" s="6">
        <f t="shared" si="2"/>
        <v>3</v>
      </c>
      <c r="I11" s="5">
        <v>2</v>
      </c>
      <c r="J11" s="6">
        <f t="shared" si="3"/>
        <v>2</v>
      </c>
      <c r="K11" s="5">
        <v>1.5</v>
      </c>
      <c r="L11" s="6">
        <f t="shared" si="4"/>
        <v>1.5</v>
      </c>
      <c r="M11" s="25">
        <v>1.5</v>
      </c>
      <c r="N11" s="4"/>
      <c r="O11" s="4"/>
      <c r="P11" s="4"/>
      <c r="Q11" s="5">
        <v>5</v>
      </c>
      <c r="R11" s="6">
        <f t="shared" si="5"/>
        <v>5</v>
      </c>
      <c r="S11" s="5"/>
      <c r="T11" s="6"/>
      <c r="U11" s="5">
        <v>6</v>
      </c>
      <c r="V11" s="6">
        <f t="shared" si="6"/>
        <v>6</v>
      </c>
      <c r="W11" s="5">
        <v>5.5</v>
      </c>
      <c r="X11" s="6">
        <f t="shared" si="7"/>
        <v>5.5</v>
      </c>
      <c r="Y11" s="4">
        <v>4</v>
      </c>
      <c r="Z11" s="6">
        <f t="shared" si="8"/>
        <v>4</v>
      </c>
      <c r="AA11" s="4"/>
      <c r="AB11" s="4"/>
      <c r="AC11" s="5">
        <v>2</v>
      </c>
      <c r="AD11" s="6">
        <f t="shared" si="9"/>
        <v>2</v>
      </c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7">
        <f>SUM(H11,J11,L11,R11,T11,V11,X11,AD11)</f>
        <v>25</v>
      </c>
    </row>
    <row r="12" spans="1:41" x14ac:dyDescent="0.25">
      <c r="A12" s="2" t="s">
        <v>32</v>
      </c>
      <c r="B12" s="3">
        <v>1</v>
      </c>
      <c r="C12" s="25">
        <v>3</v>
      </c>
      <c r="D12" s="25">
        <f t="shared" si="0"/>
        <v>3</v>
      </c>
      <c r="E12" s="25">
        <v>3</v>
      </c>
      <c r="F12" s="30">
        <f t="shared" si="1"/>
        <v>3</v>
      </c>
      <c r="G12" s="5">
        <v>3</v>
      </c>
      <c r="H12" s="6">
        <f t="shared" si="2"/>
        <v>3</v>
      </c>
      <c r="I12" s="5">
        <v>2</v>
      </c>
      <c r="J12" s="6">
        <f t="shared" si="3"/>
        <v>2</v>
      </c>
      <c r="K12" s="25">
        <v>1.5</v>
      </c>
      <c r="L12" s="6">
        <f t="shared" si="4"/>
        <v>1.5</v>
      </c>
      <c r="M12" s="25">
        <v>1.5</v>
      </c>
      <c r="N12" s="4"/>
      <c r="O12" s="4"/>
      <c r="P12" s="4"/>
      <c r="Q12" s="5">
        <v>5</v>
      </c>
      <c r="R12" s="6">
        <f t="shared" si="5"/>
        <v>5</v>
      </c>
      <c r="S12" s="4"/>
      <c r="T12" s="4"/>
      <c r="U12" s="4"/>
      <c r="V12" s="6">
        <f t="shared" si="6"/>
        <v>0</v>
      </c>
      <c r="W12" s="5">
        <v>5.5</v>
      </c>
      <c r="X12" s="6">
        <f t="shared" si="7"/>
        <v>5.5</v>
      </c>
      <c r="Y12" s="5">
        <v>4</v>
      </c>
      <c r="Z12" s="6">
        <f t="shared" si="8"/>
        <v>4</v>
      </c>
      <c r="AA12" s="4"/>
      <c r="AB12" s="4"/>
      <c r="AC12" s="5">
        <v>10</v>
      </c>
      <c r="AD12" s="6">
        <f t="shared" si="9"/>
        <v>10</v>
      </c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7">
        <f>SUM(H12,J12,R12,X12,Z12,AD12)</f>
        <v>29.5</v>
      </c>
    </row>
    <row r="13" spans="1:41" x14ac:dyDescent="0.25">
      <c r="A13" s="2" t="s">
        <v>33</v>
      </c>
      <c r="B13" s="3">
        <v>0</v>
      </c>
      <c r="C13" s="25">
        <v>4</v>
      </c>
      <c r="D13" s="25">
        <f t="shared" si="0"/>
        <v>0</v>
      </c>
      <c r="E13" s="25">
        <v>4</v>
      </c>
      <c r="F13" s="30">
        <f t="shared" si="1"/>
        <v>0</v>
      </c>
      <c r="G13" s="5">
        <v>4</v>
      </c>
      <c r="H13" s="6">
        <f t="shared" si="2"/>
        <v>0</v>
      </c>
      <c r="I13" s="5">
        <v>3</v>
      </c>
      <c r="J13" s="6">
        <f t="shared" si="3"/>
        <v>0</v>
      </c>
      <c r="K13" s="25">
        <v>1.5</v>
      </c>
      <c r="L13" s="6">
        <f t="shared" si="4"/>
        <v>0</v>
      </c>
      <c r="M13" s="25">
        <v>1.5</v>
      </c>
      <c r="N13" s="4"/>
      <c r="O13" s="4"/>
      <c r="P13" s="4"/>
      <c r="Q13" s="5">
        <v>3</v>
      </c>
      <c r="R13" s="6">
        <f t="shared" si="5"/>
        <v>0</v>
      </c>
      <c r="S13" s="5">
        <v>3</v>
      </c>
      <c r="T13" s="6">
        <f>S13*B13</f>
        <v>0</v>
      </c>
      <c r="U13" s="5"/>
      <c r="V13" s="6">
        <f t="shared" si="6"/>
        <v>0</v>
      </c>
      <c r="W13" s="4"/>
      <c r="X13" s="6">
        <f t="shared" si="7"/>
        <v>0</v>
      </c>
      <c r="Y13" s="4"/>
      <c r="Z13" s="6">
        <f t="shared" si="8"/>
        <v>0</v>
      </c>
      <c r="AA13" s="4"/>
      <c r="AB13" s="4"/>
      <c r="AC13" s="5">
        <v>2</v>
      </c>
      <c r="AD13" s="6">
        <f t="shared" si="9"/>
        <v>0</v>
      </c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7">
        <f>SUM(H13,J13,R13,T13,V13,AD13)</f>
        <v>0</v>
      </c>
    </row>
    <row r="14" spans="1:41" x14ac:dyDescent="0.25">
      <c r="A14" s="2" t="s">
        <v>34</v>
      </c>
      <c r="B14" s="3">
        <v>1</v>
      </c>
      <c r="C14" s="25">
        <v>5</v>
      </c>
      <c r="D14" s="25">
        <f t="shared" si="0"/>
        <v>5</v>
      </c>
      <c r="E14" s="25">
        <v>5</v>
      </c>
      <c r="F14" s="30">
        <f t="shared" si="1"/>
        <v>5</v>
      </c>
      <c r="G14" s="5">
        <v>5</v>
      </c>
      <c r="H14" s="6">
        <f t="shared" si="2"/>
        <v>5</v>
      </c>
      <c r="I14" s="5">
        <v>4</v>
      </c>
      <c r="J14" s="6">
        <f t="shared" si="3"/>
        <v>4</v>
      </c>
      <c r="K14" s="5">
        <v>1.5</v>
      </c>
      <c r="L14" s="6">
        <f t="shared" si="4"/>
        <v>1.5</v>
      </c>
      <c r="M14" s="25">
        <v>1</v>
      </c>
      <c r="N14" s="4"/>
      <c r="O14" s="5">
        <v>3</v>
      </c>
      <c r="P14" s="6">
        <f>O14*B14</f>
        <v>3</v>
      </c>
      <c r="Q14" s="5"/>
      <c r="R14" s="6">
        <f t="shared" si="5"/>
        <v>0</v>
      </c>
      <c r="S14" s="4"/>
      <c r="T14" s="6"/>
      <c r="U14" s="4"/>
      <c r="V14" s="6">
        <f t="shared" si="6"/>
        <v>0</v>
      </c>
      <c r="W14" s="4"/>
      <c r="X14" s="6">
        <f t="shared" si="7"/>
        <v>0</v>
      </c>
      <c r="Y14" s="4"/>
      <c r="Z14" s="6">
        <f t="shared" si="8"/>
        <v>0</v>
      </c>
      <c r="AA14" s="4"/>
      <c r="AB14" s="4"/>
      <c r="AC14" s="5">
        <v>2</v>
      </c>
      <c r="AD14" s="6">
        <f t="shared" si="9"/>
        <v>2</v>
      </c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7">
        <f>SUM(H14,J14,L14,P14,R14,AD14)</f>
        <v>15.5</v>
      </c>
    </row>
    <row r="15" spans="1:41" x14ac:dyDescent="0.25">
      <c r="A15" s="2" t="s">
        <v>35</v>
      </c>
      <c r="B15" s="3">
        <v>0</v>
      </c>
      <c r="C15" s="25">
        <v>3</v>
      </c>
      <c r="D15" s="25">
        <f t="shared" si="0"/>
        <v>0</v>
      </c>
      <c r="E15" s="25">
        <v>4</v>
      </c>
      <c r="F15" s="30">
        <f t="shared" si="1"/>
        <v>0</v>
      </c>
      <c r="G15" s="5">
        <v>3</v>
      </c>
      <c r="H15" s="6">
        <f t="shared" si="2"/>
        <v>0</v>
      </c>
      <c r="I15" s="5">
        <v>2</v>
      </c>
      <c r="J15" s="6">
        <f t="shared" si="3"/>
        <v>0</v>
      </c>
      <c r="K15" s="25">
        <v>1</v>
      </c>
      <c r="L15" s="6">
        <f t="shared" si="4"/>
        <v>0</v>
      </c>
      <c r="M15" s="25"/>
      <c r="N15" s="4"/>
      <c r="O15" s="5">
        <v>1</v>
      </c>
      <c r="P15" s="6">
        <f t="shared" ref="P15:P25" si="10">O15*B15</f>
        <v>0</v>
      </c>
      <c r="Q15" s="5">
        <v>7</v>
      </c>
      <c r="R15" s="6">
        <f t="shared" si="5"/>
        <v>0</v>
      </c>
      <c r="S15" s="4"/>
      <c r="T15" s="6"/>
      <c r="U15" s="5">
        <v>2.5</v>
      </c>
      <c r="V15" s="6">
        <f t="shared" si="6"/>
        <v>0</v>
      </c>
      <c r="W15" s="5">
        <v>6.5</v>
      </c>
      <c r="X15" s="6">
        <f t="shared" si="7"/>
        <v>0</v>
      </c>
      <c r="Y15" s="4"/>
      <c r="Z15" s="6">
        <f t="shared" si="8"/>
        <v>0</v>
      </c>
      <c r="AA15" s="4"/>
      <c r="AB15" s="4"/>
      <c r="AC15" s="5">
        <v>3</v>
      </c>
      <c r="AD15" s="6">
        <f t="shared" si="9"/>
        <v>0</v>
      </c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7">
        <f>SUM(H15,J15,P15,R15,V15,X15,AD15)</f>
        <v>0</v>
      </c>
    </row>
    <row r="16" spans="1:41" x14ac:dyDescent="0.25">
      <c r="A16" s="2" t="s">
        <v>36</v>
      </c>
      <c r="B16" s="3">
        <v>0</v>
      </c>
      <c r="C16" s="25">
        <v>3</v>
      </c>
      <c r="D16" s="25">
        <f t="shared" si="0"/>
        <v>0</v>
      </c>
      <c r="E16" s="25">
        <v>4</v>
      </c>
      <c r="F16" s="30">
        <f t="shared" si="1"/>
        <v>0</v>
      </c>
      <c r="G16" s="5">
        <v>3</v>
      </c>
      <c r="H16" s="6">
        <f t="shared" si="2"/>
        <v>0</v>
      </c>
      <c r="I16" s="5">
        <v>2</v>
      </c>
      <c r="J16" s="6">
        <f t="shared" si="3"/>
        <v>0</v>
      </c>
      <c r="K16" s="25">
        <v>1</v>
      </c>
      <c r="L16" s="6">
        <f t="shared" si="4"/>
        <v>0</v>
      </c>
      <c r="M16" s="25"/>
      <c r="N16" s="4"/>
      <c r="O16" s="5">
        <v>1</v>
      </c>
      <c r="P16" s="6">
        <f t="shared" si="10"/>
        <v>0</v>
      </c>
      <c r="Q16" s="5">
        <v>5</v>
      </c>
      <c r="R16" s="6">
        <f t="shared" si="5"/>
        <v>0</v>
      </c>
      <c r="S16" s="4"/>
      <c r="T16" s="6"/>
      <c r="U16" s="5">
        <v>6</v>
      </c>
      <c r="V16" s="6">
        <f t="shared" si="6"/>
        <v>0</v>
      </c>
      <c r="W16" s="5">
        <v>6.5</v>
      </c>
      <c r="X16" s="6">
        <f t="shared" si="7"/>
        <v>0</v>
      </c>
      <c r="Y16" s="4"/>
      <c r="Z16" s="6">
        <f t="shared" si="8"/>
        <v>0</v>
      </c>
      <c r="AA16" s="4"/>
      <c r="AB16" s="4"/>
      <c r="AC16" s="5">
        <v>3</v>
      </c>
      <c r="AD16" s="6">
        <f t="shared" si="9"/>
        <v>0</v>
      </c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7">
        <f>SUM(H16,J16,P16,R16,V16,X16,AD16)</f>
        <v>0</v>
      </c>
    </row>
    <row r="17" spans="1:41" x14ac:dyDescent="0.25">
      <c r="A17" s="2" t="s">
        <v>37</v>
      </c>
      <c r="B17" s="3">
        <v>0</v>
      </c>
      <c r="C17" s="25">
        <v>3</v>
      </c>
      <c r="D17" s="25">
        <f t="shared" si="0"/>
        <v>0</v>
      </c>
      <c r="E17" s="25">
        <v>4</v>
      </c>
      <c r="F17" s="30">
        <f t="shared" si="1"/>
        <v>0</v>
      </c>
      <c r="G17" s="5">
        <v>3</v>
      </c>
      <c r="H17" s="6">
        <f t="shared" si="2"/>
        <v>0</v>
      </c>
      <c r="I17" s="5">
        <v>3.5</v>
      </c>
      <c r="J17" s="6">
        <f t="shared" si="3"/>
        <v>0</v>
      </c>
      <c r="K17" s="25"/>
      <c r="L17" s="6"/>
      <c r="M17" s="25"/>
      <c r="N17" s="4"/>
      <c r="O17" s="5">
        <v>1</v>
      </c>
      <c r="P17" s="6">
        <f t="shared" si="10"/>
        <v>0</v>
      </c>
      <c r="Q17" s="5">
        <v>4</v>
      </c>
      <c r="R17" s="6">
        <f t="shared" si="5"/>
        <v>0</v>
      </c>
      <c r="S17" s="5">
        <v>5</v>
      </c>
      <c r="T17" s="6">
        <f t="shared" ref="T14:T25" si="11">S17*B17</f>
        <v>0</v>
      </c>
      <c r="U17" s="5"/>
      <c r="V17" s="6">
        <f t="shared" si="6"/>
        <v>0</v>
      </c>
      <c r="W17" s="4"/>
      <c r="X17" s="6">
        <f t="shared" si="7"/>
        <v>0</v>
      </c>
      <c r="Y17" s="4"/>
      <c r="Z17" s="6">
        <f t="shared" si="8"/>
        <v>0</v>
      </c>
      <c r="AA17" s="4"/>
      <c r="AB17" s="4"/>
      <c r="AC17" s="5">
        <v>2</v>
      </c>
      <c r="AD17" s="6">
        <f t="shared" si="9"/>
        <v>0</v>
      </c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7">
        <f>SUM(H17,J17,P17,R17,T17,V17,AD17)</f>
        <v>0</v>
      </c>
    </row>
    <row r="18" spans="1:41" x14ac:dyDescent="0.25">
      <c r="A18" s="2" t="s">
        <v>38</v>
      </c>
      <c r="B18" s="3">
        <v>0</v>
      </c>
      <c r="C18" s="25">
        <v>3</v>
      </c>
      <c r="D18" s="25">
        <f t="shared" si="0"/>
        <v>0</v>
      </c>
      <c r="E18" s="25">
        <v>3</v>
      </c>
      <c r="F18" s="30">
        <f t="shared" si="1"/>
        <v>0</v>
      </c>
      <c r="G18" s="5">
        <v>3</v>
      </c>
      <c r="H18" s="6">
        <f t="shared" si="2"/>
        <v>0</v>
      </c>
      <c r="I18" s="5">
        <v>2</v>
      </c>
      <c r="J18" s="6">
        <f t="shared" si="3"/>
        <v>0</v>
      </c>
      <c r="K18" s="25"/>
      <c r="L18" s="6"/>
      <c r="M18" s="25"/>
      <c r="N18" s="4"/>
      <c r="O18" s="5">
        <v>1</v>
      </c>
      <c r="P18" s="6">
        <f t="shared" si="10"/>
        <v>0</v>
      </c>
      <c r="Q18" s="5">
        <v>5</v>
      </c>
      <c r="R18" s="6">
        <f t="shared" si="5"/>
        <v>0</v>
      </c>
      <c r="S18" s="4"/>
      <c r="T18" s="6"/>
      <c r="U18" s="4"/>
      <c r="V18" s="6">
        <f t="shared" si="6"/>
        <v>0</v>
      </c>
      <c r="W18" s="5">
        <v>6.5</v>
      </c>
      <c r="X18" s="6">
        <f t="shared" si="7"/>
        <v>0</v>
      </c>
      <c r="Y18" s="4"/>
      <c r="Z18" s="6">
        <f t="shared" si="8"/>
        <v>0</v>
      </c>
      <c r="AA18" s="5"/>
      <c r="AB18" s="6"/>
      <c r="AC18" s="5">
        <v>16</v>
      </c>
      <c r="AD18" s="6">
        <f t="shared" si="9"/>
        <v>0</v>
      </c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7">
        <f>SUM(H18,J18,P18,R18,X18,AB18,AD18)</f>
        <v>0</v>
      </c>
    </row>
    <row r="19" spans="1:41" x14ac:dyDescent="0.25">
      <c r="A19" s="2" t="s">
        <v>39</v>
      </c>
      <c r="B19" s="3">
        <v>0</v>
      </c>
      <c r="C19" s="25">
        <v>3</v>
      </c>
      <c r="D19" s="25">
        <f t="shared" si="0"/>
        <v>0</v>
      </c>
      <c r="E19" s="25">
        <v>3</v>
      </c>
      <c r="F19" s="30">
        <f t="shared" si="1"/>
        <v>0</v>
      </c>
      <c r="G19" s="5">
        <v>3</v>
      </c>
      <c r="H19" s="6">
        <f t="shared" si="2"/>
        <v>0</v>
      </c>
      <c r="I19" s="5">
        <v>2</v>
      </c>
      <c r="J19" s="6">
        <f t="shared" si="3"/>
        <v>0</v>
      </c>
      <c r="K19" s="25"/>
      <c r="L19" s="6"/>
      <c r="M19" s="25"/>
      <c r="N19" s="4"/>
      <c r="O19" s="5">
        <v>1</v>
      </c>
      <c r="P19" s="6">
        <f t="shared" si="10"/>
        <v>0</v>
      </c>
      <c r="Q19" s="5">
        <v>5</v>
      </c>
      <c r="R19" s="6">
        <f t="shared" si="5"/>
        <v>0</v>
      </c>
      <c r="S19" s="4"/>
      <c r="T19" s="6"/>
      <c r="U19" s="4"/>
      <c r="V19" s="6">
        <f t="shared" si="6"/>
        <v>0</v>
      </c>
      <c r="W19" s="5">
        <v>6.5</v>
      </c>
      <c r="X19" s="6">
        <f t="shared" si="7"/>
        <v>0</v>
      </c>
      <c r="Y19" s="5"/>
      <c r="Z19" s="6">
        <f t="shared" si="8"/>
        <v>0</v>
      </c>
      <c r="AA19" s="5">
        <v>8</v>
      </c>
      <c r="AB19" s="6">
        <f>AA19*B19</f>
        <v>0</v>
      </c>
      <c r="AC19" s="5">
        <v>3</v>
      </c>
      <c r="AD19" s="6">
        <f t="shared" si="9"/>
        <v>0</v>
      </c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7">
        <f>SUM(H19,J19,P19,R19,X19,Z19,AB19,AD19)</f>
        <v>0</v>
      </c>
    </row>
    <row r="20" spans="1:41" x14ac:dyDescent="0.25">
      <c r="A20" s="2" t="s">
        <v>40</v>
      </c>
      <c r="B20" s="3">
        <v>1</v>
      </c>
      <c r="C20" s="25">
        <v>5</v>
      </c>
      <c r="D20" s="25">
        <f t="shared" si="0"/>
        <v>5</v>
      </c>
      <c r="E20" s="25">
        <v>5</v>
      </c>
      <c r="F20" s="30">
        <f t="shared" si="1"/>
        <v>5</v>
      </c>
      <c r="G20" s="5">
        <v>5</v>
      </c>
      <c r="H20" s="6">
        <f t="shared" si="2"/>
        <v>5</v>
      </c>
      <c r="I20" s="5">
        <v>4</v>
      </c>
      <c r="J20" s="6">
        <f t="shared" si="3"/>
        <v>4</v>
      </c>
      <c r="K20" s="5">
        <v>2</v>
      </c>
      <c r="L20" s="6">
        <f t="shared" si="4"/>
        <v>2</v>
      </c>
      <c r="M20" s="25"/>
      <c r="N20" s="4"/>
      <c r="O20" s="5">
        <v>7</v>
      </c>
      <c r="P20" s="6">
        <f t="shared" si="10"/>
        <v>7</v>
      </c>
      <c r="Q20" s="5"/>
      <c r="R20" s="6">
        <f t="shared" si="5"/>
        <v>0</v>
      </c>
      <c r="S20" s="4"/>
      <c r="T20" s="6"/>
      <c r="U20" s="4"/>
      <c r="V20" s="6">
        <f t="shared" si="6"/>
        <v>0</v>
      </c>
      <c r="W20" s="4"/>
      <c r="X20" s="6">
        <f t="shared" si="7"/>
        <v>0</v>
      </c>
      <c r="Y20" s="4"/>
      <c r="Z20" s="6">
        <f t="shared" si="8"/>
        <v>0</v>
      </c>
      <c r="AA20" s="4"/>
      <c r="AB20" s="4"/>
      <c r="AC20" s="5">
        <v>3</v>
      </c>
      <c r="AD20" s="6">
        <f t="shared" si="9"/>
        <v>3</v>
      </c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7">
        <f>SUM(H20,J20,L20,P20,R20,AD20)</f>
        <v>21</v>
      </c>
    </row>
    <row r="21" spans="1:41" x14ac:dyDescent="0.25">
      <c r="A21" s="2" t="s">
        <v>41</v>
      </c>
      <c r="B21" s="3">
        <v>0</v>
      </c>
      <c r="C21" s="25">
        <v>2</v>
      </c>
      <c r="D21" s="25">
        <f t="shared" si="0"/>
        <v>0</v>
      </c>
      <c r="E21" s="25">
        <v>3</v>
      </c>
      <c r="F21" s="30">
        <f t="shared" si="1"/>
        <v>0</v>
      </c>
      <c r="G21" s="5">
        <v>3</v>
      </c>
      <c r="H21" s="6">
        <f t="shared" si="2"/>
        <v>0</v>
      </c>
      <c r="I21" s="5"/>
      <c r="J21" s="6"/>
      <c r="K21" s="25"/>
      <c r="L21" s="6"/>
      <c r="M21" s="25"/>
      <c r="N21" s="4"/>
      <c r="O21" s="5">
        <v>3</v>
      </c>
      <c r="P21" s="6">
        <f t="shared" si="10"/>
        <v>0</v>
      </c>
      <c r="Q21" s="5">
        <v>7</v>
      </c>
      <c r="R21" s="6">
        <f t="shared" si="5"/>
        <v>0</v>
      </c>
      <c r="S21" s="4"/>
      <c r="T21" s="6"/>
      <c r="U21" s="5">
        <v>2.5</v>
      </c>
      <c r="V21" s="6">
        <f t="shared" si="6"/>
        <v>0</v>
      </c>
      <c r="W21" s="5">
        <v>6.5</v>
      </c>
      <c r="X21" s="6">
        <f t="shared" si="7"/>
        <v>0</v>
      </c>
      <c r="Y21" s="4"/>
      <c r="Z21" s="6">
        <f t="shared" si="8"/>
        <v>0</v>
      </c>
      <c r="AA21" s="4"/>
      <c r="AB21" s="4"/>
      <c r="AC21" s="5">
        <v>3</v>
      </c>
      <c r="AD21" s="6">
        <f t="shared" si="9"/>
        <v>0</v>
      </c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7">
        <f>SUM(H21,J21,P21,R21,V21,X21,AD21)</f>
        <v>0</v>
      </c>
    </row>
    <row r="22" spans="1:41" x14ac:dyDescent="0.25">
      <c r="A22" s="2" t="s">
        <v>42</v>
      </c>
      <c r="B22" s="3">
        <v>1</v>
      </c>
      <c r="C22" s="25">
        <v>2</v>
      </c>
      <c r="D22" s="25">
        <f t="shared" si="0"/>
        <v>2</v>
      </c>
      <c r="E22" s="25">
        <v>3</v>
      </c>
      <c r="F22" s="30">
        <f t="shared" si="1"/>
        <v>3</v>
      </c>
      <c r="G22" s="5">
        <v>3</v>
      </c>
      <c r="H22" s="6">
        <f t="shared" si="2"/>
        <v>3</v>
      </c>
      <c r="I22" s="5"/>
      <c r="J22" s="6"/>
      <c r="K22" s="25"/>
      <c r="L22" s="6"/>
      <c r="M22" s="25"/>
      <c r="N22" s="4"/>
      <c r="O22" s="5">
        <v>3</v>
      </c>
      <c r="P22" s="6">
        <f t="shared" si="10"/>
        <v>3</v>
      </c>
      <c r="Q22" s="5">
        <v>5</v>
      </c>
      <c r="R22" s="6">
        <f t="shared" si="5"/>
        <v>5</v>
      </c>
      <c r="S22" s="4"/>
      <c r="T22" s="6"/>
      <c r="U22" s="5">
        <v>7</v>
      </c>
      <c r="V22" s="6">
        <f t="shared" si="6"/>
        <v>7</v>
      </c>
      <c r="W22" s="5">
        <v>6.5</v>
      </c>
      <c r="X22" s="6">
        <f t="shared" si="7"/>
        <v>6.5</v>
      </c>
      <c r="Y22" s="4"/>
      <c r="Z22" s="6">
        <f t="shared" si="8"/>
        <v>0</v>
      </c>
      <c r="AA22" s="4"/>
      <c r="AB22" s="4"/>
      <c r="AC22" s="5">
        <v>3</v>
      </c>
      <c r="AD22" s="6">
        <f t="shared" si="9"/>
        <v>3</v>
      </c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7">
        <f>SUM(H22,J22,P22,R22,V22,X22,AD22)</f>
        <v>27.5</v>
      </c>
    </row>
    <row r="23" spans="1:41" x14ac:dyDescent="0.25">
      <c r="A23" s="2" t="s">
        <v>43</v>
      </c>
      <c r="B23" s="3">
        <v>0</v>
      </c>
      <c r="C23" s="25">
        <v>2</v>
      </c>
      <c r="D23" s="25">
        <f t="shared" si="0"/>
        <v>0</v>
      </c>
      <c r="E23" s="25">
        <v>3</v>
      </c>
      <c r="F23" s="30">
        <f t="shared" si="1"/>
        <v>0</v>
      </c>
      <c r="G23" s="5">
        <v>3</v>
      </c>
      <c r="H23" s="6">
        <f t="shared" si="2"/>
        <v>0</v>
      </c>
      <c r="I23" s="5">
        <v>3</v>
      </c>
      <c r="J23" s="6">
        <f t="shared" si="3"/>
        <v>0</v>
      </c>
      <c r="K23" s="25"/>
      <c r="L23" s="6"/>
      <c r="M23" s="25"/>
      <c r="N23" s="4"/>
      <c r="O23" s="5">
        <v>3</v>
      </c>
      <c r="P23" s="6">
        <f t="shared" si="10"/>
        <v>0</v>
      </c>
      <c r="Q23" s="5">
        <v>4</v>
      </c>
      <c r="R23" s="6">
        <f t="shared" si="5"/>
        <v>0</v>
      </c>
      <c r="S23" s="5">
        <v>6</v>
      </c>
      <c r="T23" s="6">
        <f t="shared" si="11"/>
        <v>0</v>
      </c>
      <c r="U23" s="5"/>
      <c r="V23" s="6">
        <f t="shared" si="6"/>
        <v>0</v>
      </c>
      <c r="W23" s="4"/>
      <c r="X23" s="6">
        <f t="shared" si="7"/>
        <v>0</v>
      </c>
      <c r="Y23" s="4"/>
      <c r="Z23" s="6">
        <f t="shared" si="8"/>
        <v>0</v>
      </c>
      <c r="AA23" s="4"/>
      <c r="AB23" s="4"/>
      <c r="AC23" s="5">
        <v>3</v>
      </c>
      <c r="AD23" s="6">
        <f t="shared" si="9"/>
        <v>0</v>
      </c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7">
        <f>SUM(H23,J23,P23,R23,T23,V23,AD23)</f>
        <v>0</v>
      </c>
    </row>
    <row r="24" spans="1:41" x14ac:dyDescent="0.25">
      <c r="A24" s="2" t="s">
        <v>44</v>
      </c>
      <c r="B24" s="3">
        <v>0</v>
      </c>
      <c r="C24" s="25">
        <v>2</v>
      </c>
      <c r="D24" s="25">
        <f t="shared" si="0"/>
        <v>0</v>
      </c>
      <c r="E24" s="25">
        <v>3</v>
      </c>
      <c r="F24" s="30">
        <f t="shared" si="1"/>
        <v>0</v>
      </c>
      <c r="G24" s="5">
        <v>3</v>
      </c>
      <c r="H24" s="6">
        <f t="shared" si="2"/>
        <v>0</v>
      </c>
      <c r="I24" s="5"/>
      <c r="J24" s="6"/>
      <c r="K24" s="25"/>
      <c r="L24" s="6"/>
      <c r="M24" s="25"/>
      <c r="N24" s="4"/>
      <c r="O24" s="5">
        <v>3</v>
      </c>
      <c r="P24" s="6">
        <f t="shared" si="10"/>
        <v>0</v>
      </c>
      <c r="Q24" s="5">
        <v>5</v>
      </c>
      <c r="R24" s="6">
        <f t="shared" si="5"/>
        <v>0</v>
      </c>
      <c r="S24" s="4"/>
      <c r="T24" s="6"/>
      <c r="U24" s="4"/>
      <c r="V24" s="6">
        <f t="shared" si="6"/>
        <v>0</v>
      </c>
      <c r="W24" s="5">
        <v>6.5</v>
      </c>
      <c r="X24" s="6">
        <f t="shared" si="7"/>
        <v>0</v>
      </c>
      <c r="Y24" s="4"/>
      <c r="Z24" s="6">
        <f t="shared" si="8"/>
        <v>0</v>
      </c>
      <c r="AA24" s="5"/>
      <c r="AB24" s="6">
        <f>AA24*B24</f>
        <v>0</v>
      </c>
      <c r="AC24" s="5">
        <v>16</v>
      </c>
      <c r="AD24" s="6">
        <f t="shared" si="9"/>
        <v>0</v>
      </c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7">
        <f>SUM(H24,J24,P24,R24,X24,AB24,AD24)</f>
        <v>0</v>
      </c>
    </row>
    <row r="25" spans="1:41" x14ac:dyDescent="0.25">
      <c r="A25" s="2" t="s">
        <v>49</v>
      </c>
      <c r="B25" s="3">
        <v>0</v>
      </c>
      <c r="C25" s="25">
        <v>2</v>
      </c>
      <c r="D25" s="25">
        <f t="shared" si="0"/>
        <v>0</v>
      </c>
      <c r="E25" s="25">
        <v>2</v>
      </c>
      <c r="F25" s="30">
        <f t="shared" si="1"/>
        <v>0</v>
      </c>
      <c r="G25" s="5">
        <v>2</v>
      </c>
      <c r="H25" s="6">
        <f t="shared" si="2"/>
        <v>0</v>
      </c>
      <c r="I25" s="5"/>
      <c r="J25" s="6"/>
      <c r="K25" s="25"/>
      <c r="L25" s="6"/>
      <c r="M25" s="25"/>
      <c r="N25" s="4"/>
      <c r="O25" s="5">
        <v>3</v>
      </c>
      <c r="P25" s="6">
        <f t="shared" si="10"/>
        <v>0</v>
      </c>
      <c r="Q25" s="5">
        <v>5</v>
      </c>
      <c r="R25" s="6">
        <f t="shared" si="5"/>
        <v>0</v>
      </c>
      <c r="S25" s="4"/>
      <c r="T25" s="6"/>
      <c r="U25" s="4"/>
      <c r="V25" s="6">
        <f t="shared" si="6"/>
        <v>0</v>
      </c>
      <c r="W25" s="5">
        <v>6.5</v>
      </c>
      <c r="X25" s="6">
        <f t="shared" si="7"/>
        <v>0</v>
      </c>
      <c r="Y25" s="4"/>
      <c r="Z25" s="6">
        <f t="shared" si="8"/>
        <v>0</v>
      </c>
      <c r="AA25" s="5">
        <v>8</v>
      </c>
      <c r="AB25" s="6">
        <f>AA25*B25</f>
        <v>0</v>
      </c>
      <c r="AC25" s="5">
        <v>3</v>
      </c>
      <c r="AD25" s="6">
        <f t="shared" si="9"/>
        <v>0</v>
      </c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7">
        <f>SUM(H25,J25,P25,R25,X25,AB25,AD25)</f>
        <v>0</v>
      </c>
    </row>
    <row r="26" spans="1:41" x14ac:dyDescent="0.25">
      <c r="A26" s="8" t="s">
        <v>45</v>
      </c>
      <c r="B26" s="9">
        <f>SUM(B6:B24)</f>
        <v>8</v>
      </c>
      <c r="C26" s="26"/>
      <c r="D26" s="11">
        <f>SUM(D6:D24)</f>
        <v>34</v>
      </c>
      <c r="E26" s="26"/>
      <c r="F26" s="29">
        <f>SUM(F6:F24)</f>
        <v>32</v>
      </c>
      <c r="G26" s="10"/>
      <c r="H26" s="11">
        <f>SUM(H6:H24)</f>
        <v>28</v>
      </c>
      <c r="I26" s="10"/>
      <c r="J26" s="11">
        <f>SUM(J6:J24)</f>
        <v>21</v>
      </c>
      <c r="K26" s="26"/>
      <c r="L26" s="11">
        <f>SUM(L6:L24)</f>
        <v>11</v>
      </c>
      <c r="M26" s="26"/>
      <c r="N26" s="11">
        <f>SUM(N6:N24)</f>
        <v>0</v>
      </c>
      <c r="O26" s="10"/>
      <c r="P26" s="11">
        <f>SUM(P6:P24)</f>
        <v>13</v>
      </c>
      <c r="Q26" s="10"/>
      <c r="R26" s="11">
        <f>SUM(R6:R24)</f>
        <v>27</v>
      </c>
      <c r="S26" s="10"/>
      <c r="T26" s="11">
        <f>SUM(T6:T24)</f>
        <v>0</v>
      </c>
      <c r="U26" s="10"/>
      <c r="V26" s="11">
        <f>SUM(V6:V24)</f>
        <v>20.5</v>
      </c>
      <c r="W26" s="10"/>
      <c r="X26" s="11">
        <f>SUM(X6:X24)</f>
        <v>29.5</v>
      </c>
      <c r="Y26" s="10"/>
      <c r="Z26" s="11">
        <f>SUM(Z6:Z24)</f>
        <v>20</v>
      </c>
      <c r="AA26" s="10"/>
      <c r="AB26" s="11">
        <f>SUM(AB6:AB24)</f>
        <v>0</v>
      </c>
      <c r="AC26" s="10"/>
      <c r="AD26" s="11">
        <f>SUM(AD6:AD24)</f>
        <v>26</v>
      </c>
      <c r="AE26" s="10"/>
      <c r="AF26" s="11">
        <f>SUM(AF6:AF24)</f>
        <v>0</v>
      </c>
      <c r="AG26" s="10"/>
      <c r="AH26" s="11">
        <f>SUM(AH6:AH24)</f>
        <v>0</v>
      </c>
      <c r="AI26" s="10"/>
      <c r="AJ26" s="11">
        <f>SUM(AJ6:AJ24)</f>
        <v>0</v>
      </c>
      <c r="AK26" s="10"/>
      <c r="AL26" s="11">
        <f>SUM(AL6:AL24)</f>
        <v>0</v>
      </c>
      <c r="AM26" s="10"/>
      <c r="AN26" s="11">
        <f>SUM(AN6:AN24)</f>
        <v>0</v>
      </c>
      <c r="AO26" s="12">
        <f>SUM(AO6:AO24)</f>
        <v>190.5</v>
      </c>
    </row>
    <row r="28" spans="1:41" x14ac:dyDescent="0.25">
      <c r="A28" s="13" t="s">
        <v>46</v>
      </c>
      <c r="C28" s="32">
        <v>2</v>
      </c>
      <c r="D28" s="33"/>
      <c r="E28" s="19">
        <v>2</v>
      </c>
      <c r="F28" s="18"/>
      <c r="G28" s="19">
        <v>2</v>
      </c>
      <c r="H28" s="18"/>
      <c r="I28" s="19">
        <v>2</v>
      </c>
      <c r="J28" s="18"/>
      <c r="K28" s="19">
        <v>1</v>
      </c>
      <c r="L28" s="18"/>
      <c r="M28" s="19">
        <v>1</v>
      </c>
      <c r="N28" s="18"/>
      <c r="O28" s="19">
        <v>1</v>
      </c>
      <c r="P28" s="18"/>
      <c r="Q28" s="19">
        <v>2</v>
      </c>
      <c r="R28" s="18"/>
      <c r="S28" s="19">
        <v>0</v>
      </c>
      <c r="T28" s="18"/>
      <c r="U28" s="19">
        <v>2</v>
      </c>
      <c r="V28" s="18"/>
      <c r="W28" s="19">
        <v>2</v>
      </c>
      <c r="X28" s="18"/>
      <c r="Y28" s="19">
        <v>1</v>
      </c>
      <c r="Z28" s="18"/>
      <c r="AA28" s="19">
        <v>0</v>
      </c>
      <c r="AB28" s="18"/>
      <c r="AC28" s="19">
        <v>2</v>
      </c>
      <c r="AD28" s="18"/>
      <c r="AE28" s="19">
        <v>0</v>
      </c>
      <c r="AF28" s="18"/>
      <c r="AG28" s="19">
        <v>1</v>
      </c>
      <c r="AH28" s="18"/>
      <c r="AI28" s="19">
        <v>0</v>
      </c>
      <c r="AJ28" s="18"/>
      <c r="AK28" s="19">
        <v>0</v>
      </c>
      <c r="AL28" s="18"/>
      <c r="AM28" s="19">
        <v>0</v>
      </c>
      <c r="AN28" s="18"/>
    </row>
    <row r="29" spans="1:41" x14ac:dyDescent="0.25">
      <c r="A29" s="13" t="s">
        <v>47</v>
      </c>
      <c r="C29" s="20">
        <f>C28*18</f>
        <v>36</v>
      </c>
      <c r="D29" s="18"/>
      <c r="E29" s="20">
        <f>E28*18</f>
        <v>36</v>
      </c>
      <c r="F29" s="18"/>
      <c r="G29" s="20">
        <f>G28*18</f>
        <v>36</v>
      </c>
      <c r="H29" s="18"/>
      <c r="I29" s="20">
        <f>I28*18</f>
        <v>36</v>
      </c>
      <c r="J29" s="18"/>
      <c r="K29" s="20">
        <f>K28*18</f>
        <v>18</v>
      </c>
      <c r="L29" s="18"/>
      <c r="M29" s="20">
        <f>M28*18</f>
        <v>18</v>
      </c>
      <c r="N29" s="18"/>
      <c r="O29" s="20">
        <f>O28*18</f>
        <v>18</v>
      </c>
      <c r="P29" s="18"/>
      <c r="Q29" s="20">
        <f>Q28*18</f>
        <v>36</v>
      </c>
      <c r="R29" s="18"/>
      <c r="S29" s="20">
        <f>S28*18</f>
        <v>0</v>
      </c>
      <c r="T29" s="18"/>
      <c r="U29" s="20">
        <f>U28*18</f>
        <v>36</v>
      </c>
      <c r="V29" s="18"/>
      <c r="W29" s="20">
        <f>W28*18</f>
        <v>36</v>
      </c>
      <c r="X29" s="18"/>
      <c r="Y29" s="20">
        <f>Y28*18</f>
        <v>18</v>
      </c>
      <c r="Z29" s="18"/>
      <c r="AA29" s="20">
        <f>AA28*18</f>
        <v>0</v>
      </c>
      <c r="AB29" s="18"/>
      <c r="AC29" s="20">
        <f>AC28*18</f>
        <v>36</v>
      </c>
      <c r="AD29" s="18"/>
      <c r="AE29" s="20">
        <f>AE28*18</f>
        <v>0</v>
      </c>
      <c r="AF29" s="18"/>
      <c r="AG29" s="20">
        <f>AG28*18</f>
        <v>18</v>
      </c>
      <c r="AH29" s="18"/>
      <c r="AI29" s="20">
        <f>AI28*18</f>
        <v>0</v>
      </c>
      <c r="AJ29" s="18"/>
      <c r="AK29" s="20">
        <f>AK28*18</f>
        <v>0</v>
      </c>
      <c r="AL29" s="18"/>
      <c r="AM29" s="20">
        <f>AM28*18</f>
        <v>0</v>
      </c>
      <c r="AN29" s="18"/>
    </row>
    <row r="30" spans="1:41" x14ac:dyDescent="0.25">
      <c r="A30" s="14" t="s">
        <v>48</v>
      </c>
      <c r="C30" s="17">
        <f>ROUND((D26-C29)/18, 2)</f>
        <v>-0.11</v>
      </c>
      <c r="D30" s="18"/>
      <c r="E30" s="17">
        <f>ROUND((F26-E29)/18, 2)</f>
        <v>-0.22</v>
      </c>
      <c r="F30" s="18"/>
      <c r="G30" s="17">
        <f>ROUND((H26-G29)/18, 2)</f>
        <v>-0.44</v>
      </c>
      <c r="H30" s="18"/>
      <c r="I30" s="17">
        <f>ROUND((J26-I29)/18, 2)</f>
        <v>-0.83</v>
      </c>
      <c r="J30" s="18"/>
      <c r="K30" s="17">
        <f>ROUND((L26-K29)/18, 2)</f>
        <v>-0.39</v>
      </c>
      <c r="L30" s="18"/>
      <c r="M30" s="17">
        <f>ROUND((N26-M29)/18, 2)</f>
        <v>-1</v>
      </c>
      <c r="N30" s="18"/>
      <c r="O30" s="17">
        <f>ROUND((P26-O29)/18, 2)</f>
        <v>-0.28000000000000003</v>
      </c>
      <c r="P30" s="18"/>
      <c r="Q30" s="17">
        <f>ROUND((R26-Q29)/18, 2)</f>
        <v>-0.5</v>
      </c>
      <c r="R30" s="18"/>
      <c r="S30" s="17">
        <f>ROUND((T26-S29)/18, 2)</f>
        <v>0</v>
      </c>
      <c r="T30" s="18"/>
      <c r="U30" s="17">
        <f>ROUND((V26-U29)/18, 2)</f>
        <v>-0.86</v>
      </c>
      <c r="V30" s="18"/>
      <c r="W30" s="17">
        <f>ROUND((X26-W29)/18, 2)</f>
        <v>-0.36</v>
      </c>
      <c r="X30" s="18"/>
      <c r="Y30" s="17">
        <f>ROUND((Z26-Y29)/18, 2)</f>
        <v>0.11</v>
      </c>
      <c r="Z30" s="18"/>
      <c r="AA30" s="17">
        <f>ROUND((AB26-AA29)/18, 2)</f>
        <v>0</v>
      </c>
      <c r="AB30" s="18"/>
      <c r="AC30" s="17">
        <f>ROUND((AD26-AC29)/18, 2)</f>
        <v>-0.56000000000000005</v>
      </c>
      <c r="AD30" s="18"/>
      <c r="AE30" s="17">
        <f>ROUND((AF26-AE29)/18, 2)</f>
        <v>0</v>
      </c>
      <c r="AF30" s="18"/>
      <c r="AG30" s="17">
        <f>ROUND((AH26-AG29)/18, 2)</f>
        <v>-1</v>
      </c>
      <c r="AH30" s="18"/>
      <c r="AI30" s="17">
        <f>ROUND((AJ26-AI29)/18, 2)</f>
        <v>0</v>
      </c>
      <c r="AJ30" s="18"/>
      <c r="AK30" s="17">
        <f>ROUND((AL26-AK29)/18, 2)</f>
        <v>0</v>
      </c>
      <c r="AL30" s="18"/>
      <c r="AM30" s="17">
        <f>ROUND((AN26-AM29)/18, 2)</f>
        <v>0</v>
      </c>
      <c r="AN30" s="18"/>
    </row>
  </sheetData>
  <mergeCells count="81">
    <mergeCell ref="G4:H4"/>
    <mergeCell ref="I30:J30"/>
    <mergeCell ref="I4:J4"/>
    <mergeCell ref="S30:T30"/>
    <mergeCell ref="U30:V30"/>
    <mergeCell ref="K4:L4"/>
    <mergeCell ref="M4:N4"/>
    <mergeCell ref="A4:A5"/>
    <mergeCell ref="A1:AE1"/>
    <mergeCell ref="Y29:Z29"/>
    <mergeCell ref="AM4:AN4"/>
    <mergeCell ref="B4:B5"/>
    <mergeCell ref="AK28:AL28"/>
    <mergeCell ref="AM28:AN28"/>
    <mergeCell ref="G28:H28"/>
    <mergeCell ref="I28:J28"/>
    <mergeCell ref="AA28:AB28"/>
    <mergeCell ref="S28:T28"/>
    <mergeCell ref="U28:V28"/>
    <mergeCell ref="E29:F29"/>
    <mergeCell ref="G29:H29"/>
    <mergeCell ref="I29:J29"/>
    <mergeCell ref="M29:N29"/>
    <mergeCell ref="AO4:AO5"/>
    <mergeCell ref="O4:P4"/>
    <mergeCell ref="Q4:R4"/>
    <mergeCell ref="AI4:AJ4"/>
    <mergeCell ref="AC30:AD30"/>
    <mergeCell ref="AE30:AF30"/>
    <mergeCell ref="AK30:AL30"/>
    <mergeCell ref="AE29:AF29"/>
    <mergeCell ref="AG29:AH29"/>
    <mergeCell ref="W30:X30"/>
    <mergeCell ref="AE4:AF4"/>
    <mergeCell ref="K30:L30"/>
    <mergeCell ref="C30:D30"/>
    <mergeCell ref="E30:F30"/>
    <mergeCell ref="Y30:Z30"/>
    <mergeCell ref="S29:T29"/>
    <mergeCell ref="M30:N30"/>
    <mergeCell ref="G30:H30"/>
    <mergeCell ref="S4:T4"/>
    <mergeCell ref="U4:V4"/>
    <mergeCell ref="A2:AE2"/>
    <mergeCell ref="AG30:AH30"/>
    <mergeCell ref="AI30:AJ30"/>
    <mergeCell ref="AA29:AB29"/>
    <mergeCell ref="AC29:AD29"/>
    <mergeCell ref="C4:D4"/>
    <mergeCell ref="E4:F4"/>
    <mergeCell ref="O30:P30"/>
    <mergeCell ref="Q30:R30"/>
    <mergeCell ref="AA4:AB4"/>
    <mergeCell ref="AC4:AD4"/>
    <mergeCell ref="K28:L28"/>
    <mergeCell ref="M28:N28"/>
    <mergeCell ref="W28:X28"/>
    <mergeCell ref="C28:D28"/>
    <mergeCell ref="E28:F28"/>
    <mergeCell ref="U29:V29"/>
    <mergeCell ref="O28:P28"/>
    <mergeCell ref="Q28:R28"/>
    <mergeCell ref="K29:L29"/>
    <mergeCell ref="C29:D29"/>
    <mergeCell ref="O29:P29"/>
    <mergeCell ref="Q29:R29"/>
    <mergeCell ref="W4:X4"/>
    <mergeCell ref="AG4:AH4"/>
    <mergeCell ref="Y4:Z4"/>
    <mergeCell ref="AA30:AB30"/>
    <mergeCell ref="AM30:AN30"/>
    <mergeCell ref="AG28:AH28"/>
    <mergeCell ref="AI28:AJ28"/>
    <mergeCell ref="W29:X29"/>
    <mergeCell ref="AM29:AN29"/>
    <mergeCell ref="AK4:AL4"/>
    <mergeCell ref="Y28:Z28"/>
    <mergeCell ref="AC28:AD28"/>
    <mergeCell ref="AE28:AF28"/>
    <mergeCell ref="AI29:AJ29"/>
    <mergeCell ref="AK29:AL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ضبط الحاجات للأساتذة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Mourad Harrath</cp:lastModifiedBy>
  <dcterms:created xsi:type="dcterms:W3CDTF">2026-07-28T14:01:44Z</dcterms:created>
  <dcterms:modified xsi:type="dcterms:W3CDTF">2026-07-28T14:47:01Z</dcterms:modified>
</cp:coreProperties>
</file>